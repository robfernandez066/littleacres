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ops" sheetId="2" state="visible" r:id="rId4"/>
    <sheet name="Levels" sheetId="3" state="visible" r:id="rId5"/>
    <sheet name="Orders &amp; San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<sst xmlns="http://schemas.openxmlformats.org/spreadsheetml/2006/main" count="79" uniqueCount="72">
  <si>
    <t xml:space="preserve">Little Acres - Balance Sheet v1 (Track A)</t>
  </si>
  <si>
    <t xml:space="preserve">Purpose: single source of truth for economy numbers. On approval, values export into src/data/ (crops.ts, levels.ts, orders.ts).</t>
  </si>
  <si>
    <t xml:space="preserve">Source of current values: src/data as of 2026-07-10 (post T2.9 series). Proposed values by PM per the 2026-07-10 design-review triage.</t>
  </si>
  <si>
    <t xml:space="preserve">LEGEND</t>
  </si>
  <si>
    <t xml:space="preserve">Blue text = proposed values / inputs you can edit. Black = current shipped values or formulas. Yellow fill = key assumptions.</t>
  </si>
  <si>
    <t xml:space="preserve">Every derived column is a live formula - change a blue cell and the audit recomputes.</t>
  </si>
  <si>
    <t xml:space="preserve">DESIGN PRINCIPLE (fixes the reviewer's finding)</t>
  </si>
  <si>
    <t xml:space="preserve">Every crop must win one axis. Sunwheat = active coins/min king. Starcorn = xp/min king (xp 5 -&gt; 9).</t>
  </si>
  <si>
    <t xml:space="preserve">Glowberry = payload + order value. Moonroot/Emberpepper = bigger payloads for half-session / leave-and-return play.</t>
  </si>
  <si>
    <t xml:space="preserve">Long crops plateau near 5 coins/min so active play stays best paid, but never dominated on xp too.</t>
  </si>
  <si>
    <t xml:space="preserve">LEVEL CAP: proposed 6, not the reviewer's ~8</t>
  </si>
  <si>
    <t xml:space="preserve">With 2 new crops, levels 7-8 would unlock nothing - dead anticipation violates the GDD's visible-unlock rule.</t>
  </si>
  <si>
    <t xml:space="preserve">L6 unlocks CHESTS (aligns with the pulled-forward chest v1). Phase 3 raises the cap with crops 6-8.</t>
  </si>
  <si>
    <t xml:space="preserve">CASCADES TO FLAG</t>
  </si>
  <si>
    <t xml:space="preserve">Starcorn xp 5 -&gt; 9 changes tutorial ORDER B xpReward 54 -&gt; 78 (coins stay 188). See Orders &amp; Sanity B14:B16.</t>
  </si>
  <si>
    <t xml:space="preserve">Raising L4/L5 thresholds needs NO migration: levels are stored and only ever increase (T1.7 rule).</t>
  </si>
  <si>
    <t xml:space="preserve">Crop economy - current + proposed</t>
  </si>
  <si>
    <t xml:space="preserve">Crop</t>
  </si>
  <si>
    <t xml:space="preserve">Unlock Lv</t>
  </si>
  <si>
    <t xml:space="preserve">Grow (s)</t>
  </si>
  <si>
    <t xml:space="preserve">Grow (min)</t>
  </si>
  <si>
    <t xml:space="preserve">Seed cost</t>
  </si>
  <si>
    <t xml:space="preserve">Sell value</t>
  </si>
  <si>
    <t xml:space="preserve">XP/harvest</t>
  </si>
  <si>
    <t xml:space="preserve">Profit/cycle</t>
  </si>
  <si>
    <t xml:space="preserve">Coins/min/plot</t>
  </si>
  <si>
    <t xml:space="preserve">XP/min/plot</t>
  </si>
  <si>
    <t xml:space="preserve">Cycles/hr</t>
  </si>
  <si>
    <t xml:space="preserve">Niche</t>
  </si>
  <si>
    <t xml:space="preserve">Sunwheat</t>
  </si>
  <si>
    <t xml:space="preserve">Active coins/min king (unchanged)</t>
  </si>
  <si>
    <t xml:space="preserve">Starcorn</t>
  </si>
  <si>
    <t xml:space="preserve">XP king: 4.5 xp/min beats Sunwheat's 4.0 (xp 5 -&gt; 9)</t>
  </si>
  <si>
    <t xml:space="preserve">Glowberry</t>
  </si>
  <si>
    <t xml:space="preserve">Payload + order value; xp 12 -&gt; 15 keeps it respectable</t>
  </si>
  <si>
    <t xml:space="preserve">Moonroot</t>
  </si>
  <si>
    <t xml:space="preserve">NEW L4: half-session crop, 8 min</t>
  </si>
  <si>
    <t xml:space="preserve">Emberpepper</t>
  </si>
  <si>
    <t xml:space="preserve">NEW L5: leave-and-return, 20 min, biggest payload</t>
  </si>
  <si>
    <t xml:space="preserve">Blue = proposed (Starcorn/Glowberry xp changes; Moonroot + Emberpepper are new). Black rows 4 A-F = shipped values from crops.ts.</t>
  </si>
  <si>
    <t xml:space="preserve">Audit check: no crop should top BOTH the Coins/min and XP/min columns. Current shipped values fail this (Sunwheat wins both).</t>
  </si>
  <si>
    <t xml:space="preserve">Level curve - current (1-5) and proposed (cap 6)</t>
  </si>
  <si>
    <t xml:space="preserve">Level</t>
  </si>
  <si>
    <t xml:space="preserve">XP threshold (current)</t>
  </si>
  <si>
    <t xml:space="preserve">XP threshold (proposed)</t>
  </si>
  <si>
    <t xml:space="preserve">Delta xp</t>
  </si>
  <si>
    <t xml:space="preserve">Unlock</t>
  </si>
  <si>
    <t xml:space="preserve">Est. min of active play to reach</t>
  </si>
  <si>
    <t xml:space="preserve">start (Sunwheat)</t>
  </si>
  <si>
    <t xml:space="preserve">Moonroot (NEW)</t>
  </si>
  <si>
    <t xml:space="preserve">Emberpepper (NEW)</t>
  </si>
  <si>
    <t xml:space="preserve">-</t>
  </si>
  <si>
    <t xml:space="preserve">Chests (NEW, chest v1)</t>
  </si>
  <si>
    <t xml:space="preserve">Assumption</t>
  </si>
  <si>
    <t xml:space="preserve">Active field xp/min (12 plots of Sunwheat, constant sweep-replant: 12 plots x 4 xp/min; orders push the real rate higher)</t>
  </si>
  <si>
    <t xml:space="preserve">Est. minutes are ACTIVE-GRIND lower bounds. Real players check in over days; cap 6 lands roughly 45-70 active minutes = several cozy sessions.</t>
  </si>
  <si>
    <t xml:space="preserve">Thresholds 1-3 unchanged (tutorial pacing is tested). No save migration needed: stored level only ever increases (T1.7).</t>
  </si>
  <si>
    <t xml:space="preserve">Order rewards, unit caps, tutorial cascade, expansion sanity</t>
  </si>
  <si>
    <t xml:space="preserve">Reward multipliers (orders.ts, shipped)</t>
  </si>
  <si>
    <t xml:space="preserve">Coin multiplier x sell</t>
  </si>
  <si>
    <t xml:space="preserve">XP multiplier x crop xp</t>
  </si>
  <si>
    <t xml:space="preserve">Order coins/unit</t>
  </si>
  <si>
    <t xml:space="preserve">Order xp/unit</t>
  </si>
  <si>
    <t xml:space="preserve">Unit cap (current)</t>
  </si>
  <si>
    <t xml:space="preserve">Unit cap (proposed)</t>
  </si>
  <si>
    <t xml:space="preserve">Tutorial ORDER B cascade (8 Sunwheat + 4 Starcorn)</t>
  </si>
  <si>
    <t xml:space="preserve">coinReward: stored 188 | recomputed</t>
  </si>
  <si>
    <t xml:space="preserve">xpReward: stored 54 | recomputed (MUST update onboarding.ts if different)</t>
  </si>
  <si>
    <t xml:space="preserve">Expansion sanity (500 coins, +4 plots)</t>
  </si>
  <si>
    <t xml:space="preserve">Minutes of 12-plot Sunwheat grind to afford</t>
  </si>
  <si>
    <t xml:space="preserve">Minutes for the 4 new plots to pay for themselves (Sunwheat)</t>
  </si>
  <si>
    <t xml:space="preserve">Green = pulls live from the Crops sheet. Change a blue crop number and everything here follows.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</si>
</sst>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8D9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1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55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</row>
    <row r="4" customFormat="false" ht="15" hidden="false" customHeight="false" outlineLevel="0" collapsed="false">
      <c r="A4" s="2" t="s">
        <v>29</v>
      </c>
      <c r="B4" s="2" t="n">
        <v>1</v>
      </c>
      <c r="C4" s="2" t="n">
        <v>30</v>
      </c>
      <c r="D4" s="4" t="n">
        <f aca="false">C4/60</f>
        <v>0.5</v>
      </c>
      <c r="E4" s="2" t="n">
        <v>5</v>
      </c>
      <c r="F4" s="2" t="n">
        <v>8</v>
      </c>
      <c r="G4" s="2" t="n">
        <v>2</v>
      </c>
      <c r="H4" s="2" t="n">
        <f aca="false">F4-E4</f>
        <v>3</v>
      </c>
      <c r="I4" s="4" t="n">
        <f aca="false">H4/D4</f>
        <v>6</v>
      </c>
      <c r="J4" s="4" t="n">
        <f aca="false">G4/D4</f>
        <v>4</v>
      </c>
      <c r="K4" s="4" t="n">
        <f aca="false">3600/C4</f>
        <v>120</v>
      </c>
      <c r="L4" s="2" t="s">
        <v>30</v>
      </c>
    </row>
    <row r="5" customFormat="false" ht="15" hidden="false" customHeight="false" outlineLevel="0" collapsed="false">
      <c r="A5" s="2" t="s">
        <v>31</v>
      </c>
      <c r="B5" s="2" t="n">
        <v>2</v>
      </c>
      <c r="C5" s="2" t="n">
        <v>120</v>
      </c>
      <c r="D5" s="4" t="n">
        <f aca="false">C5/60</f>
        <v>2</v>
      </c>
      <c r="E5" s="2" t="n">
        <v>12</v>
      </c>
      <c r="F5" s="2" t="n">
        <v>20</v>
      </c>
      <c r="G5" s="5" t="n">
        <v>9</v>
      </c>
      <c r="H5" s="2" t="n">
        <f aca="false">F5-E5</f>
        <v>8</v>
      </c>
      <c r="I5" s="4" t="n">
        <f aca="false">H5/D5</f>
        <v>4</v>
      </c>
      <c r="J5" s="4" t="n">
        <f aca="false">G5/D5</f>
        <v>4.5</v>
      </c>
      <c r="K5" s="4" t="n">
        <f aca="false">3600/C5</f>
        <v>30</v>
      </c>
      <c r="L5" s="2" t="s">
        <v>32</v>
      </c>
    </row>
    <row r="6" customFormat="false" ht="15" hidden="false" customHeight="false" outlineLevel="0" collapsed="false">
      <c r="A6" s="2" t="s">
        <v>33</v>
      </c>
      <c r="B6" s="2" t="n">
        <v>3</v>
      </c>
      <c r="C6" s="2" t="n">
        <v>300</v>
      </c>
      <c r="D6" s="4" t="n">
        <f aca="false">C6/60</f>
        <v>5</v>
      </c>
      <c r="E6" s="2" t="n">
        <v>30</v>
      </c>
      <c r="F6" s="2" t="n">
        <v>55</v>
      </c>
      <c r="G6" s="5" t="n">
        <v>15</v>
      </c>
      <c r="H6" s="2" t="n">
        <f aca="false">F6-E6</f>
        <v>25</v>
      </c>
      <c r="I6" s="4" t="n">
        <f aca="false">H6/D6</f>
        <v>5</v>
      </c>
      <c r="J6" s="4" t="n">
        <f aca="false">G6/D6</f>
        <v>3</v>
      </c>
      <c r="K6" s="4" t="n">
        <f aca="false">3600/C6</f>
        <v>12</v>
      </c>
      <c r="L6" s="2" t="s">
        <v>34</v>
      </c>
    </row>
    <row r="7" customFormat="false" ht="15" hidden="false" customHeight="false" outlineLevel="0" collapsed="false">
      <c r="A7" s="2" t="s">
        <v>35</v>
      </c>
      <c r="B7" s="5" t="n">
        <v>4</v>
      </c>
      <c r="C7" s="5" t="n">
        <v>480</v>
      </c>
      <c r="D7" s="4" t="n">
        <f aca="false">C7/60</f>
        <v>8</v>
      </c>
      <c r="E7" s="5" t="n">
        <v>60</v>
      </c>
      <c r="F7" s="5" t="n">
        <v>100</v>
      </c>
      <c r="G7" s="5" t="n">
        <v>28</v>
      </c>
      <c r="H7" s="2" t="n">
        <f aca="false">F7-E7</f>
        <v>40</v>
      </c>
      <c r="I7" s="4" t="n">
        <f aca="false">H7/D7</f>
        <v>5</v>
      </c>
      <c r="J7" s="4" t="n">
        <f aca="false">G7/D7</f>
        <v>3.5</v>
      </c>
      <c r="K7" s="4" t="n">
        <f aca="false">3600/C7</f>
        <v>7.5</v>
      </c>
      <c r="L7" s="2" t="s">
        <v>36</v>
      </c>
    </row>
    <row r="8" customFormat="false" ht="15" hidden="false" customHeight="false" outlineLevel="0" collapsed="false">
      <c r="A8" s="2" t="s">
        <v>37</v>
      </c>
      <c r="B8" s="5" t="n">
        <v>5</v>
      </c>
      <c r="C8" s="5" t="n">
        <v>1200</v>
      </c>
      <c r="D8" s="4" t="n">
        <f aca="false">C8/60</f>
        <v>20</v>
      </c>
      <c r="E8" s="5" t="n">
        <v>110</v>
      </c>
      <c r="F8" s="5" t="n">
        <v>210</v>
      </c>
      <c r="G8" s="5" t="n">
        <v>70</v>
      </c>
      <c r="H8" s="2" t="n">
        <f aca="false">F8-E8</f>
        <v>100</v>
      </c>
      <c r="I8" s="4" t="n">
        <f aca="false">H8/D8</f>
        <v>5</v>
      </c>
      <c r="J8" s="4" t="n">
        <f aca="false">G8/D8</f>
        <v>3.5</v>
      </c>
      <c r="K8" s="4" t="n">
        <f aca="false">3600/C8</f>
        <v>3</v>
      </c>
      <c r="L8" s="2" t="s">
        <v>38</v>
      </c>
    </row>
    <row r="10" customFormat="false" ht="15" hidden="false" customHeight="false" outlineLevel="0" collapsed="false">
      <c r="A10" s="6" t="s">
        <v>39</v>
      </c>
    </row>
    <row r="11" customFormat="false" ht="15" hidden="false" customHeight="false" outlineLevel="0" collapsed="false">
      <c r="A11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</row>
    <row r="4" customFormat="false" ht="15" hidden="false" customHeight="false" outlineLevel="0" collapsed="false">
      <c r="A4" s="2" t="n">
        <v>1</v>
      </c>
      <c r="B4" s="2" t="n">
        <v>0</v>
      </c>
      <c r="C4" s="2" t="n">
        <v>0</v>
      </c>
      <c r="D4" s="2" t="n">
        <v>0</v>
      </c>
      <c r="E4" s="2" t="s">
        <v>48</v>
      </c>
      <c r="F4" s="7" t="n">
        <v>0</v>
      </c>
    </row>
    <row r="5" customFormat="false" ht="15" hidden="false" customHeight="false" outlineLevel="0" collapsed="false">
      <c r="A5" s="2" t="n">
        <v>2</v>
      </c>
      <c r="B5" s="2" t="n">
        <v>30</v>
      </c>
      <c r="C5" s="2" t="n">
        <v>30</v>
      </c>
      <c r="D5" s="2" t="n">
        <f aca="false">C5-C4</f>
        <v>30</v>
      </c>
      <c r="E5" s="2" t="s">
        <v>31</v>
      </c>
      <c r="F5" s="7" t="n">
        <f aca="false">D5/$B$12</f>
        <v>0.625</v>
      </c>
    </row>
    <row r="6" customFormat="false" ht="15" hidden="false" customHeight="false" outlineLevel="0" collapsed="false">
      <c r="A6" s="2" t="n">
        <v>3</v>
      </c>
      <c r="B6" s="2" t="n">
        <v>90</v>
      </c>
      <c r="C6" s="2" t="n">
        <v>90</v>
      </c>
      <c r="D6" s="2" t="n">
        <f aca="false">C6-C5</f>
        <v>60</v>
      </c>
      <c r="E6" s="2" t="s">
        <v>33</v>
      </c>
      <c r="F6" s="7" t="n">
        <f aca="false">D6/$B$12</f>
        <v>1.25</v>
      </c>
    </row>
    <row r="7" customFormat="false" ht="15" hidden="false" customHeight="false" outlineLevel="0" collapsed="false">
      <c r="A7" s="2" t="n">
        <v>4</v>
      </c>
      <c r="B7" s="2" t="n">
        <v>200</v>
      </c>
      <c r="C7" s="5" t="n">
        <v>450</v>
      </c>
      <c r="D7" s="2" t="n">
        <f aca="false">C7-C6</f>
        <v>360</v>
      </c>
      <c r="E7" s="5" t="s">
        <v>49</v>
      </c>
      <c r="F7" s="7" t="n">
        <f aca="false">D7/$B$12</f>
        <v>7.5</v>
      </c>
    </row>
    <row r="8" customFormat="false" ht="15" hidden="false" customHeight="false" outlineLevel="0" collapsed="false">
      <c r="A8" s="2" t="n">
        <v>5</v>
      </c>
      <c r="B8" s="2" t="n">
        <v>380</v>
      </c>
      <c r="C8" s="5" t="n">
        <v>1000</v>
      </c>
      <c r="D8" s="2" t="n">
        <f aca="false">C8-C7</f>
        <v>550</v>
      </c>
      <c r="E8" s="5" t="s">
        <v>50</v>
      </c>
      <c r="F8" s="7" t="n">
        <f aca="false">D8/$B$12</f>
        <v>11.4583333333333</v>
      </c>
    </row>
    <row r="9" customFormat="false" ht="15" hidden="false" customHeight="false" outlineLevel="0" collapsed="false">
      <c r="A9" s="2" t="n">
        <v>6</v>
      </c>
      <c r="B9" s="2" t="s">
        <v>51</v>
      </c>
      <c r="C9" s="5" t="n">
        <v>2000</v>
      </c>
      <c r="D9" s="2" t="n">
        <f aca="false">C9-C8</f>
        <v>1000</v>
      </c>
      <c r="E9" s="5" t="s">
        <v>52</v>
      </c>
      <c r="F9" s="7" t="n">
        <f aca="false">D9/$B$12</f>
        <v>20.8333333333333</v>
      </c>
    </row>
    <row r="11" customFormat="false" ht="15" hidden="false" customHeight="false" outlineLevel="0" collapsed="false">
      <c r="A11" s="1" t="s">
        <v>53</v>
      </c>
    </row>
    <row r="12" customFormat="false" ht="15" hidden="false" customHeight="false" outlineLevel="0" collapsed="false">
      <c r="A12" s="2" t="s">
        <v>54</v>
      </c>
      <c r="B12" s="8" t="n">
        <v>48</v>
      </c>
    </row>
    <row r="13" customFormat="false" ht="15" hidden="false" customHeight="false" outlineLevel="0" collapsed="false">
      <c r="A13" s="6" t="s">
        <v>55</v>
      </c>
    </row>
    <row r="14" customFormat="false" ht="15" hidden="false" customHeight="false" outlineLevel="0" collapsed="false">
      <c r="A14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1" t="s">
        <v>58</v>
      </c>
    </row>
    <row r="4" customFormat="false" ht="15" hidden="false" customHeight="false" outlineLevel="0" collapsed="false">
      <c r="A4" s="2" t="s">
        <v>59</v>
      </c>
      <c r="B4" s="2" t="n">
        <v>1.3</v>
      </c>
    </row>
    <row r="5" customFormat="false" ht="15" hidden="false" customHeight="false" outlineLevel="0" collapsed="false">
      <c r="A5" s="2" t="s">
        <v>60</v>
      </c>
      <c r="B5" s="2" t="n">
        <v>1.5</v>
      </c>
    </row>
    <row r="7" customFormat="false" ht="15" hidden="false" customHeight="false" outlineLevel="0" collapsed="false">
      <c r="A7" s="3" t="s">
        <v>17</v>
      </c>
      <c r="B7" s="3" t="s">
        <v>61</v>
      </c>
      <c r="C7" s="3" t="s">
        <v>62</v>
      </c>
      <c r="D7" s="3" t="s">
        <v>63</v>
      </c>
      <c r="E7" s="3" t="s">
        <v>64</v>
      </c>
    </row>
    <row r="8" customFormat="false" ht="15" hidden="false" customHeight="false" outlineLevel="0" collapsed="false">
      <c r="A8" s="9" t="str">
        <f aca="false">Crops!A4</f>
        <v>Sunwheat</v>
      </c>
      <c r="B8" s="10" t="n">
        <f aca="false">Crops!F4*$B$4</f>
        <v>10.4</v>
      </c>
      <c r="C8" s="10" t="n">
        <f aca="false">Crops!G4*$B$5</f>
        <v>3</v>
      </c>
      <c r="D8" s="2" t="s">
        <v>51</v>
      </c>
      <c r="E8" s="2" t="s">
        <v>51</v>
      </c>
    </row>
    <row r="9" customFormat="false" ht="15" hidden="false" customHeight="false" outlineLevel="0" collapsed="false">
      <c r="A9" s="9" t="str">
        <f aca="false">Crops!A5</f>
        <v>Starcorn</v>
      </c>
      <c r="B9" s="10" t="n">
        <f aca="false">Crops!F5*$B$4</f>
        <v>26</v>
      </c>
      <c r="C9" s="10" t="n">
        <f aca="false">Crops!G5*$B$5</f>
        <v>13.5</v>
      </c>
      <c r="D9" s="2" t="n">
        <v>5</v>
      </c>
      <c r="E9" s="2" t="n">
        <v>5</v>
      </c>
    </row>
    <row r="10" customFormat="false" ht="15" hidden="false" customHeight="false" outlineLevel="0" collapsed="false">
      <c r="A10" s="9" t="str">
        <f aca="false">Crops!A6</f>
        <v>Glowberry</v>
      </c>
      <c r="B10" s="10" t="n">
        <f aca="false">Crops!F6*$B$4</f>
        <v>71.5</v>
      </c>
      <c r="C10" s="10" t="n">
        <f aca="false">Crops!G6*$B$5</f>
        <v>22.5</v>
      </c>
      <c r="D10" s="2" t="n">
        <v>2</v>
      </c>
      <c r="E10" s="2" t="n">
        <v>2</v>
      </c>
    </row>
    <row r="11" customFormat="false" ht="15" hidden="false" customHeight="false" outlineLevel="0" collapsed="false">
      <c r="A11" s="9" t="str">
        <f aca="false">Crops!A7</f>
        <v>Moonroot</v>
      </c>
      <c r="B11" s="10" t="n">
        <f aca="false">Crops!F7*$B$4</f>
        <v>130</v>
      </c>
      <c r="C11" s="10" t="n">
        <f aca="false">Crops!G7*$B$5</f>
        <v>42</v>
      </c>
      <c r="D11" s="2" t="s">
        <v>51</v>
      </c>
      <c r="E11" s="5" t="n">
        <v>3</v>
      </c>
    </row>
    <row r="12" customFormat="false" ht="15" hidden="false" customHeight="false" outlineLevel="0" collapsed="false">
      <c r="A12" s="9" t="str">
        <f aca="false">Crops!A8</f>
        <v>Emberpepper</v>
      </c>
      <c r="B12" s="10" t="n">
        <f aca="false">Crops!F8*$B$4</f>
        <v>273</v>
      </c>
      <c r="C12" s="10" t="n">
        <f aca="false">Crops!G8*$B$5</f>
        <v>105</v>
      </c>
      <c r="D12" s="2" t="s">
        <v>51</v>
      </c>
      <c r="E12" s="5" t="n">
        <v>2</v>
      </c>
    </row>
    <row r="14" customFormat="false" ht="15" hidden="false" customHeight="false" outlineLevel="0" collapsed="false">
      <c r="A14" s="1" t="s">
        <v>65</v>
      </c>
    </row>
    <row r="15" customFormat="false" ht="15" hidden="false" customHeight="false" outlineLevel="0" collapsed="false">
      <c r="A15" s="2" t="s">
        <v>66</v>
      </c>
      <c r="B15" s="2" t="n">
        <f aca="false">CEILING((8*Crops!F4+4*Crops!F5)*B4,1)</f>
        <v>188</v>
      </c>
    </row>
    <row r="16" customFormat="false" ht="15" hidden="false" customHeight="false" outlineLevel="0" collapsed="false">
      <c r="A16" s="2" t="s">
        <v>67</v>
      </c>
      <c r="B16" s="2" t="n">
        <f aca="false">CEILING((8*Crops!G4+4*Crops!G5)*B5,1)</f>
        <v>78</v>
      </c>
    </row>
    <row r="18" customFormat="false" ht="15" hidden="false" customHeight="false" outlineLevel="0" collapsed="false">
      <c r="A18" s="1" t="s">
        <v>68</v>
      </c>
    </row>
    <row r="19" customFormat="false" ht="15" hidden="false" customHeight="false" outlineLevel="0" collapsed="false">
      <c r="A19" s="2" t="s">
        <v>69</v>
      </c>
      <c r="B19" s="10" t="n">
        <f aca="false">500/(12*Crops!I4)</f>
        <v>6.94444444444445</v>
      </c>
    </row>
    <row r="20" customFormat="false" ht="15" hidden="false" customHeight="false" outlineLevel="0" collapsed="false">
      <c r="A20" s="2" t="s">
        <v>70</v>
      </c>
      <c r="B20" s="10" t="n">
        <f aca="false">500/(4*Crops!I4)</f>
        <v>20.8333333333333</v>
      </c>
    </row>
    <row r="22" customFormat="false" ht="15" hidden="false" customHeight="false" outlineLevel="0" collapsed="false">
      <c r="A22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2026-07-10T22:18:45Z</dcterms:created>
  <dc:creator>openpyxl</dc:creator>
  <dc:description/>
  <dc:language>en-US</dc:language>
  <cp:lastModifiedBy/>
  <dcterms:modified xsi:type="dcterms:W3CDTF">2026-07-10T22:18:45Z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