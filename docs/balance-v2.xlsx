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rops" sheetId="2" state="visible" r:id="rId4"/>
    <sheet name="Levels" sheetId="3" state="visible" r:id="rId5"/>
    <sheet name="Orders &amp; Sanity" sheetId="4" state="visible" r:id="rId6"/>
    <sheet name="Decor" sheetId="5" state="visible" r:id="rId7"/>
    <sheet name="Ques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<sst xmlns="http://schemas.openxmlformats.org/spreadsheetml/2006/main" count="146" uniqueCount="127">
  <si>
    <t xml:space="preserve">Little Acres - Balance Sheet v2</t>
  </si>
  <si>
    <t xml:space="preserve">Purpose: single source of truth for economy numbers. On approval, values export into src/data/ (crops.ts, levels.ts, orders.ts, decor.ts, quests.ts).</t>
  </si>
  <si>
    <t xml:space="preserve">Regenerated 2026-07-13 (original v2 delivered 2026-07-12; this copy is identical in blessed values). Save as docs/balance-v2.xlsx.</t>
  </si>
  <si>
    <t xml:space="preserve">LEGEND</t>
  </si>
  <si>
    <t xml:space="preserve">Blue text = v2 values (blessed 2026-07-12): Dewmelon, Sagesprig, L7/L8 thresholds, their unit caps. Black = shipped values from src/data. Green = pulls live from another sheet.</t>
  </si>
  <si>
    <t xml:space="preserve">Every derived column is a live formula - change a blue cell and the audits recompute.</t>
  </si>
  <si>
    <t xml:space="preserve">WHAT V2 ADDS OVER V1</t>
  </si>
  <si>
    <t xml:space="preserve">1. Crops sheet: Dewmelon (L7) and Sagesprig (L8) - wave 2, task T3.11. Long crops keep the v1 rule: plateau near 5 coins/min so active play stays best paid.</t>
  </si>
  <si>
    <t xml:space="preserve">2. Levels sheet: cap 6 -&gt; 8; thresholds L7 3500, L8 5500.</t>
  </si>
  <si>
    <t xml:space="preserve">3. Decor sheet: the 10 shop prices + 5 quest trophies (shipped in T3.9, source decor.ts).</t>
  </si>
  <si>
    <t xml:space="preserve">4. Quests sheet: 7 long quests + 4 weekly quests (shipped in T3.10, source quests.ts). NOTE: Weekly Growth is grow-minutes based - the count-based weekly in the first v2 draft was redesigned after the sunwheat-spam flaw was caught; quests.ts is the source of truth.</t>
  </si>
  <si>
    <t xml:space="preserve">CASCADES TO FLAG</t>
  </si>
  <si>
    <t xml:space="preserve">Raising the cap to 8 needs NO migration: stored level only ever increases (T1.7 rule).</t>
  </si>
  <si>
    <t xml:space="preserve">Seed bar goes 5 -&gt; 7 buttons (T3.11 includes the measured refit + WYWA/Inventory 7-row fit check).</t>
  </si>
  <si>
    <t xml:space="preserve">Crop economy - shipped (black) + T3.11 additions (blue)</t>
  </si>
  <si>
    <t xml:space="preserve">Crop</t>
  </si>
  <si>
    <t xml:space="preserve">Unlock Lv</t>
  </si>
  <si>
    <t xml:space="preserve">Grow (s)</t>
  </si>
  <si>
    <t xml:space="preserve">Grow (min)</t>
  </si>
  <si>
    <t xml:space="preserve">Seed cost</t>
  </si>
  <si>
    <t xml:space="preserve">Sell value</t>
  </si>
  <si>
    <t xml:space="preserve">XP/harvest</t>
  </si>
  <si>
    <t xml:space="preserve">Profit/cycle</t>
  </si>
  <si>
    <t xml:space="preserve">Coins/min/plot</t>
  </si>
  <si>
    <t xml:space="preserve">XP/min/plot</t>
  </si>
  <si>
    <t xml:space="preserve">Cycles/hr</t>
  </si>
  <si>
    <t xml:space="preserve">Niche</t>
  </si>
  <si>
    <t xml:space="preserve">Sunwheat</t>
  </si>
  <si>
    <t xml:space="preserve">Active coins/min king</t>
  </si>
  <si>
    <t xml:space="preserve">Starcorn</t>
  </si>
  <si>
    <t xml:space="preserve">XP king: 4.5 xp/min</t>
  </si>
  <si>
    <t xml:space="preserve">Glowberry</t>
  </si>
  <si>
    <t xml:space="preserve">Payload + order value</t>
  </si>
  <si>
    <t xml:space="preserve">Moonroot</t>
  </si>
  <si>
    <t xml:space="preserve">Half-session crop, 8 min</t>
  </si>
  <si>
    <t xml:space="preserve">Emberpepper</t>
  </si>
  <si>
    <t xml:space="preserve">Leave-and-return, 20 min</t>
  </si>
  <si>
    <t xml:space="preserve">Dewmelon</t>
  </si>
  <si>
    <t xml:space="preserve">NEW L7 (T3.11): session-bridging 45 min, big payload</t>
  </si>
  <si>
    <t xml:space="preserve">Sagesprig</t>
  </si>
  <si>
    <t xml:space="preserve">NEW L8 (T3.11): overnight/2h prestige crop, biggest payload</t>
  </si>
  <si>
    <t xml:space="preserve">Blue = T3.11 additions (blessed 2026-07-12). Black = shipped values from crops.ts.</t>
  </si>
  <si>
    <t xml:space="preserve">Audit: no crop tops BOTH Coins/min and XP/min. Long-crop rule: coins/min plateaus near 5 (Dewmelon 5.33, Sagesprig 5.0).</t>
  </si>
  <si>
    <t xml:space="preserve">Level curve - cap 8 (v2)</t>
  </si>
  <si>
    <t xml:space="preserve">Level</t>
  </si>
  <si>
    <t xml:space="preserve">XP threshold</t>
  </si>
  <si>
    <t xml:space="preserve">Delta xp</t>
  </si>
  <si>
    <t xml:space="preserve">Unlock</t>
  </si>
  <si>
    <t xml:space="preserve">start (Sunwheat)</t>
  </si>
  <si>
    <t xml:space="preserve">Chests</t>
  </si>
  <si>
    <t xml:space="preserve">Dewmelon (NEW)</t>
  </si>
  <si>
    <t xml:space="preserve">Sagesprig (NEW)</t>
  </si>
  <si>
    <t xml:space="preserve">Thresholds 1-6 shipped (levels.ts). L7/L8 blessed 2026-07-12. No migration: stored level only ever increases (T1.7).</t>
  </si>
  <si>
    <t xml:space="preserve">Order rewards + unit caps</t>
  </si>
  <si>
    <t xml:space="preserve">Reward multipliers (orders.ts, shipped)</t>
  </si>
  <si>
    <t xml:space="preserve">Coin multiplier x sell</t>
  </si>
  <si>
    <t xml:space="preserve">XP multiplier x crop xp</t>
  </si>
  <si>
    <t xml:space="preserve">Order coins/unit</t>
  </si>
  <si>
    <t xml:space="preserve">Order xp/unit</t>
  </si>
  <si>
    <t xml:space="preserve">Unit cap</t>
  </si>
  <si>
    <t xml:space="preserve">-</t>
  </si>
  <si>
    <t xml:space="preserve">Green = pulls live from the Crops sheet. Caps keep one order from demanding more than a plot-capped field can hold; blue caps blessed with T3.11.</t>
  </si>
  <si>
    <t xml:space="preserve">Decorations - shipped T3.9 (decor.ts)</t>
  </si>
  <si>
    <t xml:space="preserve">Item</t>
  </si>
  <si>
    <t xml:space="preserve">Currency</t>
  </si>
  <si>
    <t xml:space="preserve">Price</t>
  </si>
  <si>
    <t xml:space="preserve">Bench</t>
  </si>
  <si>
    <t xml:space="preserve">coins</t>
  </si>
  <si>
    <t xml:space="preserve">Flowerbed</t>
  </si>
  <si>
    <t xml:space="preserve">Fence</t>
  </si>
  <si>
    <t xml:space="preserve">Barrels</t>
  </si>
  <si>
    <t xml:space="preserve">Scarecrow</t>
  </si>
  <si>
    <t xml:space="preserve">Birdbath</t>
  </si>
  <si>
    <t xml:space="preserve">Well</t>
  </si>
  <si>
    <t xml:space="preserve">Mushrooms</t>
  </si>
  <si>
    <t xml:space="preserve">moondust</t>
  </si>
  <si>
    <t xml:space="preserve">Gnome</t>
  </si>
  <si>
    <t xml:space="preserve">Lantern</t>
  </si>
  <si>
    <t xml:space="preserve">Trophies (not purchasable; quest rewards, T3.10)</t>
  </si>
  <si>
    <t xml:space="preserve">trophy_goldscarecrow (Golden Fields)</t>
  </si>
  <si>
    <t xml:space="preserve">trophy_starbanner (Star Farmer)</t>
  </si>
  <si>
    <t xml:space="preserve">trophy_moonwell (Keeper of the Glow)</t>
  </si>
  <si>
    <t xml:space="preserve">trophy_traderscart (Premium Partner)</t>
  </si>
  <si>
    <t xml:space="preserve">trophy_ancientoak (Deep Roots)</t>
  </si>
  <si>
    <t xml:space="preserve">Cap: 30 owned total (placed + warehoused, checked at purchase). Moondust items are THE moondust sink.</t>
  </si>
  <si>
    <t xml:space="preserve">Quests - shipped T3.10 (quests.ts is the source of truth)</t>
  </si>
  <si>
    <t xml:space="preserve">LONG QUESTS (lifetime counters)</t>
  </si>
  <si>
    <t xml:space="preserve">Quest</t>
  </si>
  <si>
    <t xml:space="preserve">Counter</t>
  </si>
  <si>
    <t xml:space="preserve">Target</t>
  </si>
  <si>
    <t xml:space="preserve">Reward</t>
  </si>
  <si>
    <t xml:space="preserve">Golden Fields</t>
  </si>
  <si>
    <t xml:space="preserve">Sunwheat harvests</t>
  </si>
  <si>
    <t xml:space="preserve">trophy_goldscarecrow</t>
  </si>
  <si>
    <t xml:space="preserve">Star Farmer</t>
  </si>
  <si>
    <t xml:space="preserve">Starcorn harvests</t>
  </si>
  <si>
    <t xml:space="preserve">trophy_starbanner</t>
  </si>
  <si>
    <t xml:space="preserve">Keeper of the Glow</t>
  </si>
  <si>
    <t xml:space="preserve">Glowberry harvests</t>
  </si>
  <si>
    <t xml:space="preserve">trophy_moonwell</t>
  </si>
  <si>
    <t xml:space="preserve">Village Favorite</t>
  </si>
  <si>
    <t xml:space="preserve">Orders fulfilled</t>
  </si>
  <si>
    <t xml:space="preserve">2 chests</t>
  </si>
  <si>
    <t xml:space="preserve">Premium Partner</t>
  </si>
  <si>
    <t xml:space="preserve">Premium orders fulfilled</t>
  </si>
  <si>
    <t xml:space="preserve">trophy_traderscart</t>
  </si>
  <si>
    <t xml:space="preserve">Treasure Hunter</t>
  </si>
  <si>
    <t xml:space="preserve">Chests opened</t>
  </si>
  <si>
    <t xml:space="preserve">3 chests</t>
  </si>
  <si>
    <t xml:space="preserve">Deep Roots</t>
  </si>
  <si>
    <t xml:space="preserve">Total harvests (any crop)</t>
  </si>
  <si>
    <t xml:space="preserve">trophy_ancientoak</t>
  </si>
  <si>
    <t xml:space="preserve">WEEKLY QUESTS (real-clock weekly reset; 2 of 4 active per week)</t>
  </si>
  <si>
    <t xml:space="preserve">Growing Strong</t>
  </si>
  <si>
    <t xml:space="preserve">Grow-minutes harvested (sum of grow time)</t>
  </si>
  <si>
    <t xml:space="preserve">1 chest</t>
  </si>
  <si>
    <t xml:space="preserve">Specialist</t>
  </si>
  <si>
    <t xml:space="preserve">Featured-crop harvests (tiered, below)</t>
  </si>
  <si>
    <t xml:space="preserve">per crop</t>
  </si>
  <si>
    <t xml:space="preserve">1 chest + 2 moondust</t>
  </si>
  <si>
    <t xml:space="preserve">Weekly Trader</t>
  </si>
  <si>
    <t xml:space="preserve">3 moondust</t>
  </si>
  <si>
    <t xml:space="preserve">Weekly Radiance</t>
  </si>
  <si>
    <t xml:space="preserve">Radiant crops harvested</t>
  </si>
  <si>
    <t xml:space="preserve">Specialist per-crop targets: Sunwheat 60 / Starcorn 25 / Glowberry 15 / Moonroot 12 / Emberpepper 8</t>
  </si>
  <si>
    <t xml:space="preserve">Design note: Growing Strong is grow-minutes based (not harvest counts) so it cannot be sunwheat-spammed; blessed with the v2 sheet 2026-07-12.</t>
  </si>
  <si>
    <t xml:space="preserve">T3.11 follow-up: decide Dewmelon/Sagesprig Specialist tiers when the crops ship (suggest 6 / 3 by grow-time ratio).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</si>
</sst>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9"/>
    <col collapsed="false" customWidth="true" hidden="false" outlineLevel="0" max="6" min="4" style="0" width="10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55"/>
  </cols>
  <sheetData>
    <row r="1" customFormat="false" ht="16.15" hidden="false" customHeight="false" outlineLevel="0" collapsed="false">
      <c r="A1" s="1" t="s">
        <v>14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</row>
    <row r="4" customFormat="false" ht="15" hidden="false" customHeight="false" outlineLevel="0" collapsed="false">
      <c r="A4" s="2" t="s">
        <v>27</v>
      </c>
      <c r="B4" s="2" t="n">
        <v>1</v>
      </c>
      <c r="C4" s="2" t="n">
        <v>30</v>
      </c>
      <c r="D4" s="5" t="n">
        <f aca="false">C4/60</f>
        <v>0.5</v>
      </c>
      <c r="E4" s="2" t="n">
        <v>5</v>
      </c>
      <c r="F4" s="2" t="n">
        <v>8</v>
      </c>
      <c r="G4" s="2" t="n">
        <v>2</v>
      </c>
      <c r="H4" s="2" t="n">
        <f aca="false">F4-E4</f>
        <v>3</v>
      </c>
      <c r="I4" s="5" t="n">
        <f aca="false">H4/D4</f>
        <v>6</v>
      </c>
      <c r="J4" s="5" t="n">
        <f aca="false">G4/D4</f>
        <v>4</v>
      </c>
      <c r="K4" s="5" t="n">
        <f aca="false">60/D4</f>
        <v>120</v>
      </c>
      <c r="L4" s="2" t="s">
        <v>28</v>
      </c>
    </row>
    <row r="5" customFormat="false" ht="15" hidden="false" customHeight="false" outlineLevel="0" collapsed="false">
      <c r="A5" s="2" t="s">
        <v>29</v>
      </c>
      <c r="B5" s="2" t="n">
        <v>2</v>
      </c>
      <c r="C5" s="2" t="n">
        <v>120</v>
      </c>
      <c r="D5" s="5" t="n">
        <f aca="false">C5/60</f>
        <v>2</v>
      </c>
      <c r="E5" s="2" t="n">
        <v>12</v>
      </c>
      <c r="F5" s="2" t="n">
        <v>20</v>
      </c>
      <c r="G5" s="2" t="n">
        <v>9</v>
      </c>
      <c r="H5" s="2" t="n">
        <f aca="false">F5-E5</f>
        <v>8</v>
      </c>
      <c r="I5" s="5" t="n">
        <f aca="false">H5/D5</f>
        <v>4</v>
      </c>
      <c r="J5" s="5" t="n">
        <f aca="false">G5/D5</f>
        <v>4.5</v>
      </c>
      <c r="K5" s="5" t="n">
        <f aca="false">60/D5</f>
        <v>30</v>
      </c>
      <c r="L5" s="2" t="s">
        <v>30</v>
      </c>
    </row>
    <row r="6" customFormat="false" ht="15" hidden="false" customHeight="false" outlineLevel="0" collapsed="false">
      <c r="A6" s="2" t="s">
        <v>31</v>
      </c>
      <c r="B6" s="2" t="n">
        <v>3</v>
      </c>
      <c r="C6" s="2" t="n">
        <v>300</v>
      </c>
      <c r="D6" s="5" t="n">
        <f aca="false">C6/60</f>
        <v>5</v>
      </c>
      <c r="E6" s="2" t="n">
        <v>30</v>
      </c>
      <c r="F6" s="2" t="n">
        <v>55</v>
      </c>
      <c r="G6" s="2" t="n">
        <v>15</v>
      </c>
      <c r="H6" s="2" t="n">
        <f aca="false">F6-E6</f>
        <v>25</v>
      </c>
      <c r="I6" s="5" t="n">
        <f aca="false">H6/D6</f>
        <v>5</v>
      </c>
      <c r="J6" s="5" t="n">
        <f aca="false">G6/D6</f>
        <v>3</v>
      </c>
      <c r="K6" s="5" t="n">
        <f aca="false">60/D6</f>
        <v>12</v>
      </c>
      <c r="L6" s="2" t="s">
        <v>32</v>
      </c>
    </row>
    <row r="7" customFormat="false" ht="15" hidden="false" customHeight="false" outlineLevel="0" collapsed="false">
      <c r="A7" s="2" t="s">
        <v>33</v>
      </c>
      <c r="B7" s="2" t="n">
        <v>4</v>
      </c>
      <c r="C7" s="2" t="n">
        <v>480</v>
      </c>
      <c r="D7" s="5" t="n">
        <f aca="false">C7/60</f>
        <v>8</v>
      </c>
      <c r="E7" s="2" t="n">
        <v>60</v>
      </c>
      <c r="F7" s="2" t="n">
        <v>100</v>
      </c>
      <c r="G7" s="2" t="n">
        <v>28</v>
      </c>
      <c r="H7" s="2" t="n">
        <f aca="false">F7-E7</f>
        <v>40</v>
      </c>
      <c r="I7" s="5" t="n">
        <f aca="false">H7/D7</f>
        <v>5</v>
      </c>
      <c r="J7" s="5" t="n">
        <f aca="false">G7/D7</f>
        <v>3.5</v>
      </c>
      <c r="K7" s="5" t="n">
        <f aca="false">60/D7</f>
        <v>7.5</v>
      </c>
      <c r="L7" s="2" t="s">
        <v>34</v>
      </c>
    </row>
    <row r="8" customFormat="false" ht="15" hidden="false" customHeight="false" outlineLevel="0" collapsed="false">
      <c r="A8" s="2" t="s">
        <v>35</v>
      </c>
      <c r="B8" s="2" t="n">
        <v>5</v>
      </c>
      <c r="C8" s="2" t="n">
        <v>1200</v>
      </c>
      <c r="D8" s="5" t="n">
        <f aca="false">C8/60</f>
        <v>20</v>
      </c>
      <c r="E8" s="2" t="n">
        <v>110</v>
      </c>
      <c r="F8" s="2" t="n">
        <v>210</v>
      </c>
      <c r="G8" s="2" t="n">
        <v>70</v>
      </c>
      <c r="H8" s="2" t="n">
        <f aca="false">F8-E8</f>
        <v>100</v>
      </c>
      <c r="I8" s="5" t="n">
        <f aca="false">H8/D8</f>
        <v>5</v>
      </c>
      <c r="J8" s="5" t="n">
        <f aca="false">G8/D8</f>
        <v>3.5</v>
      </c>
      <c r="K8" s="5" t="n">
        <f aca="false">60/D8</f>
        <v>3</v>
      </c>
      <c r="L8" s="2" t="s">
        <v>36</v>
      </c>
    </row>
    <row r="9" customFormat="false" ht="15" hidden="false" customHeight="false" outlineLevel="0" collapsed="false">
      <c r="A9" s="6" t="s">
        <v>37</v>
      </c>
      <c r="B9" s="6" t="n">
        <v>7</v>
      </c>
      <c r="C9" s="6" t="n">
        <v>2700</v>
      </c>
      <c r="D9" s="7" t="n">
        <f aca="false">C9/60</f>
        <v>45</v>
      </c>
      <c r="E9" s="6" t="n">
        <v>260</v>
      </c>
      <c r="F9" s="6" t="n">
        <v>500</v>
      </c>
      <c r="G9" s="6" t="n">
        <v>150</v>
      </c>
      <c r="H9" s="6" t="n">
        <f aca="false">F9-E9</f>
        <v>240</v>
      </c>
      <c r="I9" s="7" t="n">
        <f aca="false">H9/D9</f>
        <v>5.33333333333333</v>
      </c>
      <c r="J9" s="7" t="n">
        <f aca="false">G9/D9</f>
        <v>3.33333333333333</v>
      </c>
      <c r="K9" s="7" t="n">
        <f aca="false">60/D9</f>
        <v>1.33333333333333</v>
      </c>
      <c r="L9" s="6" t="s">
        <v>38</v>
      </c>
    </row>
    <row r="10" customFormat="false" ht="15" hidden="false" customHeight="false" outlineLevel="0" collapsed="false">
      <c r="A10" s="6" t="s">
        <v>39</v>
      </c>
      <c r="B10" s="6" t="n">
        <v>8</v>
      </c>
      <c r="C10" s="6" t="n">
        <v>7200</v>
      </c>
      <c r="D10" s="7" t="n">
        <f aca="false">C10/60</f>
        <v>120</v>
      </c>
      <c r="E10" s="6" t="n">
        <v>600</v>
      </c>
      <c r="F10" s="6" t="n">
        <v>1200</v>
      </c>
      <c r="G10" s="6" t="n">
        <v>400</v>
      </c>
      <c r="H10" s="6" t="n">
        <f aca="false">F10-E10</f>
        <v>600</v>
      </c>
      <c r="I10" s="7" t="n">
        <f aca="false">H10/D10</f>
        <v>5</v>
      </c>
      <c r="J10" s="7" t="n">
        <f aca="false">G10/D10</f>
        <v>3.33333333333333</v>
      </c>
      <c r="K10" s="7" t="n">
        <f aca="false">60/D10</f>
        <v>0.5</v>
      </c>
      <c r="L10" s="6" t="s">
        <v>40</v>
      </c>
    </row>
    <row r="12" customFormat="false" ht="15" hidden="false" customHeight="false" outlineLevel="0" collapsed="false">
      <c r="A12" s="2" t="s">
        <v>41</v>
      </c>
    </row>
    <row r="13" customFormat="false" ht="15" hidden="false" customHeight="false" outlineLevel="0" collapsed="false">
      <c r="A13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6"/>
  </cols>
  <sheetData>
    <row r="1" customFormat="false" ht="16.15" hidden="false" customHeight="false" outlineLevel="0" collapsed="false">
      <c r="A1" s="1" t="s">
        <v>43</v>
      </c>
    </row>
    <row r="3" customFormat="false" ht="15" hidden="false" customHeight="false" outlineLevel="0" collapsed="false">
      <c r="A3" s="4" t="s">
        <v>44</v>
      </c>
      <c r="B3" s="4" t="s">
        <v>45</v>
      </c>
      <c r="C3" s="4" t="s">
        <v>46</v>
      </c>
      <c r="D3" s="4" t="s">
        <v>47</v>
      </c>
    </row>
    <row r="4" customFormat="false" ht="15" hidden="false" customHeight="false" outlineLevel="0" collapsed="false">
      <c r="A4" s="2" t="n">
        <v>1</v>
      </c>
      <c r="B4" s="2" t="n">
        <v>0</v>
      </c>
      <c r="C4" s="2" t="n">
        <v>0</v>
      </c>
      <c r="D4" s="2" t="s">
        <v>48</v>
      </c>
    </row>
    <row r="5" customFormat="false" ht="15" hidden="false" customHeight="false" outlineLevel="0" collapsed="false">
      <c r="A5" s="2" t="n">
        <v>2</v>
      </c>
      <c r="B5" s="2" t="n">
        <v>30</v>
      </c>
      <c r="C5" s="2" t="n">
        <f aca="false">B5-B4</f>
        <v>30</v>
      </c>
      <c r="D5" s="2" t="s">
        <v>29</v>
      </c>
    </row>
    <row r="6" customFormat="false" ht="15" hidden="false" customHeight="false" outlineLevel="0" collapsed="false">
      <c r="A6" s="2" t="n">
        <v>3</v>
      </c>
      <c r="B6" s="2" t="n">
        <v>90</v>
      </c>
      <c r="C6" s="2" t="n">
        <f aca="false">B6-B5</f>
        <v>60</v>
      </c>
      <c r="D6" s="2" t="s">
        <v>31</v>
      </c>
    </row>
    <row r="7" customFormat="false" ht="15" hidden="false" customHeight="false" outlineLevel="0" collapsed="false">
      <c r="A7" s="2" t="n">
        <v>4</v>
      </c>
      <c r="B7" s="2" t="n">
        <v>450</v>
      </c>
      <c r="C7" s="2" t="n">
        <f aca="false">B7-B6</f>
        <v>360</v>
      </c>
      <c r="D7" s="2" t="s">
        <v>33</v>
      </c>
    </row>
    <row r="8" customFormat="false" ht="15" hidden="false" customHeight="false" outlineLevel="0" collapsed="false">
      <c r="A8" s="2" t="n">
        <v>5</v>
      </c>
      <c r="B8" s="2" t="n">
        <v>1000</v>
      </c>
      <c r="C8" s="2" t="n">
        <f aca="false">B8-B7</f>
        <v>550</v>
      </c>
      <c r="D8" s="2" t="s">
        <v>35</v>
      </c>
    </row>
    <row r="9" customFormat="false" ht="15" hidden="false" customHeight="false" outlineLevel="0" collapsed="false">
      <c r="A9" s="2" t="n">
        <v>6</v>
      </c>
      <c r="B9" s="2" t="n">
        <v>2000</v>
      </c>
      <c r="C9" s="2" t="n">
        <f aca="false">B9-B8</f>
        <v>1000</v>
      </c>
      <c r="D9" s="2" t="s">
        <v>49</v>
      </c>
    </row>
    <row r="10" customFormat="false" ht="15" hidden="false" customHeight="false" outlineLevel="0" collapsed="false">
      <c r="A10" s="6" t="n">
        <v>7</v>
      </c>
      <c r="B10" s="6" t="n">
        <v>3500</v>
      </c>
      <c r="C10" s="6" t="n">
        <f aca="false">B10-B9</f>
        <v>1500</v>
      </c>
      <c r="D10" s="6" t="s">
        <v>50</v>
      </c>
    </row>
    <row r="11" customFormat="false" ht="15" hidden="false" customHeight="false" outlineLevel="0" collapsed="false">
      <c r="A11" s="6" t="n">
        <v>8</v>
      </c>
      <c r="B11" s="6" t="n">
        <v>5500</v>
      </c>
      <c r="C11" s="6" t="n">
        <f aca="false">B11-B10</f>
        <v>2000</v>
      </c>
      <c r="D11" s="6" t="s">
        <v>51</v>
      </c>
    </row>
    <row r="13" customFormat="false" ht="15" hidden="false" customHeight="false" outlineLevel="0" collapsed="false">
      <c r="A13" s="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0"/>
  </cols>
  <sheetData>
    <row r="1" customFormat="false" ht="16.15" hidden="false" customHeight="false" outlineLevel="0" collapsed="false">
      <c r="A1" s="1" t="s">
        <v>53</v>
      </c>
    </row>
    <row r="3" customFormat="false" ht="15" hidden="false" customHeight="false" outlineLevel="0" collapsed="false">
      <c r="A3" s="3" t="s">
        <v>54</v>
      </c>
    </row>
    <row r="4" customFormat="false" ht="15" hidden="false" customHeight="false" outlineLevel="0" collapsed="false">
      <c r="A4" s="2" t="s">
        <v>55</v>
      </c>
      <c r="B4" s="2" t="n">
        <v>1.3</v>
      </c>
    </row>
    <row r="5" customFormat="false" ht="15" hidden="false" customHeight="false" outlineLevel="0" collapsed="false">
      <c r="A5" s="2" t="s">
        <v>56</v>
      </c>
      <c r="B5" s="2" t="n">
        <v>1.5</v>
      </c>
    </row>
    <row r="7" customFormat="false" ht="15" hidden="false" customHeight="false" outlineLevel="0" collapsed="false">
      <c r="A7" s="4" t="s">
        <v>15</v>
      </c>
      <c r="B7" s="4" t="s">
        <v>57</v>
      </c>
      <c r="C7" s="4" t="s">
        <v>58</v>
      </c>
      <c r="D7" s="4" t="s">
        <v>59</v>
      </c>
    </row>
    <row r="8" customFormat="false" ht="15" hidden="false" customHeight="false" outlineLevel="0" collapsed="false">
      <c r="A8" s="8" t="str">
        <f aca="false">Crops!A4</f>
        <v>Sunwheat</v>
      </c>
      <c r="B8" s="9" t="n">
        <f aca="false">Crops!F4*$B$4</f>
        <v>10.4</v>
      </c>
      <c r="C8" s="9" t="n">
        <f aca="false">Crops!G4*$B$5</f>
        <v>3</v>
      </c>
      <c r="D8" s="2" t="s">
        <v>60</v>
      </c>
    </row>
    <row r="9" customFormat="false" ht="15" hidden="false" customHeight="false" outlineLevel="0" collapsed="false">
      <c r="A9" s="8" t="str">
        <f aca="false">Crops!A5</f>
        <v>Starcorn</v>
      </c>
      <c r="B9" s="9" t="n">
        <f aca="false">Crops!F5*$B$4</f>
        <v>26</v>
      </c>
      <c r="C9" s="9" t="n">
        <f aca="false">Crops!G5*$B$5</f>
        <v>13.5</v>
      </c>
      <c r="D9" s="2" t="n">
        <v>5</v>
      </c>
    </row>
    <row r="10" customFormat="false" ht="15" hidden="false" customHeight="false" outlineLevel="0" collapsed="false">
      <c r="A10" s="8" t="str">
        <f aca="false">Crops!A6</f>
        <v>Glowberry</v>
      </c>
      <c r="B10" s="9" t="n">
        <f aca="false">Crops!F6*$B$4</f>
        <v>71.5</v>
      </c>
      <c r="C10" s="9" t="n">
        <f aca="false">Crops!G6*$B$5</f>
        <v>22.5</v>
      </c>
      <c r="D10" s="2" t="n">
        <v>2</v>
      </c>
    </row>
    <row r="11" customFormat="false" ht="15" hidden="false" customHeight="false" outlineLevel="0" collapsed="false">
      <c r="A11" s="8" t="str">
        <f aca="false">Crops!A7</f>
        <v>Moonroot</v>
      </c>
      <c r="B11" s="9" t="n">
        <f aca="false">Crops!F7*$B$4</f>
        <v>130</v>
      </c>
      <c r="C11" s="9" t="n">
        <f aca="false">Crops!G7*$B$5</f>
        <v>42</v>
      </c>
      <c r="D11" s="2" t="n">
        <v>3</v>
      </c>
    </row>
    <row r="12" customFormat="false" ht="15" hidden="false" customHeight="false" outlineLevel="0" collapsed="false">
      <c r="A12" s="8" t="str">
        <f aca="false">Crops!A8</f>
        <v>Emberpepper</v>
      </c>
      <c r="B12" s="9" t="n">
        <f aca="false">Crops!F8*$B$4</f>
        <v>273</v>
      </c>
      <c r="C12" s="9" t="n">
        <f aca="false">Crops!G8*$B$5</f>
        <v>105</v>
      </c>
      <c r="D12" s="2" t="n">
        <v>2</v>
      </c>
    </row>
    <row r="13" customFormat="false" ht="15" hidden="false" customHeight="false" outlineLevel="0" collapsed="false">
      <c r="A13" s="8" t="str">
        <f aca="false">Crops!A9</f>
        <v>Dewmelon</v>
      </c>
      <c r="B13" s="9" t="n">
        <f aca="false">Crops!F9*$B$4</f>
        <v>650</v>
      </c>
      <c r="C13" s="9" t="n">
        <f aca="false">Crops!G9*$B$5</f>
        <v>225</v>
      </c>
      <c r="D13" s="6" t="n">
        <v>2</v>
      </c>
    </row>
    <row r="14" customFormat="false" ht="15" hidden="false" customHeight="false" outlineLevel="0" collapsed="false">
      <c r="A14" s="8" t="str">
        <f aca="false">Crops!A10</f>
        <v>Sagesprig</v>
      </c>
      <c r="B14" s="9" t="n">
        <f aca="false">Crops!F10*$B$4</f>
        <v>1560</v>
      </c>
      <c r="C14" s="9" t="n">
        <f aca="false">Crops!G10*$B$5</f>
        <v>600</v>
      </c>
      <c r="D14" s="6" t="n">
        <v>1</v>
      </c>
    </row>
    <row r="16" customFormat="false" ht="15" hidden="false" customHeight="false" outlineLevel="0" collapsed="false">
      <c r="A16" s="2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1" t="s">
        <v>62</v>
      </c>
    </row>
    <row r="3" customFormat="false" ht="15" hidden="false" customHeight="false" outlineLevel="0" collapsed="false">
      <c r="A3" s="4" t="s">
        <v>63</v>
      </c>
      <c r="B3" s="4" t="s">
        <v>64</v>
      </c>
      <c r="C3" s="4" t="s">
        <v>65</v>
      </c>
    </row>
    <row r="4" customFormat="false" ht="15" hidden="false" customHeight="false" outlineLevel="0" collapsed="false">
      <c r="A4" s="2" t="s">
        <v>66</v>
      </c>
      <c r="B4" s="2" t="s">
        <v>67</v>
      </c>
      <c r="C4" s="2" t="n">
        <v>400</v>
      </c>
    </row>
    <row r="5" customFormat="false" ht="15" hidden="false" customHeight="false" outlineLevel="0" collapsed="false">
      <c r="A5" s="2" t="s">
        <v>68</v>
      </c>
      <c r="B5" s="2" t="s">
        <v>67</v>
      </c>
      <c r="C5" s="2" t="n">
        <v>600</v>
      </c>
    </row>
    <row r="6" customFormat="false" ht="15" hidden="false" customHeight="false" outlineLevel="0" collapsed="false">
      <c r="A6" s="2" t="s">
        <v>69</v>
      </c>
      <c r="B6" s="2" t="s">
        <v>67</v>
      </c>
      <c r="C6" s="2" t="n">
        <v>250</v>
      </c>
    </row>
    <row r="7" customFormat="false" ht="15" hidden="false" customHeight="false" outlineLevel="0" collapsed="false">
      <c r="A7" s="2" t="s">
        <v>70</v>
      </c>
      <c r="B7" s="2" t="s">
        <v>67</v>
      </c>
      <c r="C7" s="2" t="n">
        <v>350</v>
      </c>
    </row>
    <row r="8" customFormat="false" ht="15" hidden="false" customHeight="false" outlineLevel="0" collapsed="false">
      <c r="A8" s="2" t="s">
        <v>71</v>
      </c>
      <c r="B8" s="2" t="s">
        <v>67</v>
      </c>
      <c r="C8" s="2" t="n">
        <v>900</v>
      </c>
    </row>
    <row r="9" customFormat="false" ht="15" hidden="false" customHeight="false" outlineLevel="0" collapsed="false">
      <c r="A9" s="2" t="s">
        <v>72</v>
      </c>
      <c r="B9" s="2" t="s">
        <v>67</v>
      </c>
      <c r="C9" s="2" t="n">
        <v>1200</v>
      </c>
    </row>
    <row r="10" customFormat="false" ht="15" hidden="false" customHeight="false" outlineLevel="0" collapsed="false">
      <c r="A10" s="2" t="s">
        <v>73</v>
      </c>
      <c r="B10" s="2" t="s">
        <v>67</v>
      </c>
      <c r="C10" s="2" t="n">
        <v>2000</v>
      </c>
    </row>
    <row r="11" customFormat="false" ht="15" hidden="false" customHeight="false" outlineLevel="0" collapsed="false">
      <c r="A11" s="2" t="s">
        <v>74</v>
      </c>
      <c r="B11" s="2" t="s">
        <v>75</v>
      </c>
      <c r="C11" s="2" t="n">
        <v>4</v>
      </c>
    </row>
    <row r="12" customFormat="false" ht="15" hidden="false" customHeight="false" outlineLevel="0" collapsed="false">
      <c r="A12" s="2" t="s">
        <v>76</v>
      </c>
      <c r="B12" s="2" t="s">
        <v>75</v>
      </c>
      <c r="C12" s="2" t="n">
        <v>6</v>
      </c>
    </row>
    <row r="13" customFormat="false" ht="15" hidden="false" customHeight="false" outlineLevel="0" collapsed="false">
      <c r="A13" s="2" t="s">
        <v>77</v>
      </c>
      <c r="B13" s="2" t="s">
        <v>75</v>
      </c>
      <c r="C13" s="2" t="n">
        <v>8</v>
      </c>
    </row>
    <row r="15" customFormat="false" ht="15" hidden="false" customHeight="false" outlineLevel="0" collapsed="false">
      <c r="A15" s="4" t="s">
        <v>78</v>
      </c>
    </row>
    <row r="16" customFormat="false" ht="15" hidden="false" customHeight="false" outlineLevel="0" collapsed="false">
      <c r="A16" s="2" t="s">
        <v>79</v>
      </c>
    </row>
    <row r="17" customFormat="false" ht="15" hidden="false" customHeight="false" outlineLevel="0" collapsed="false">
      <c r="A17" s="2" t="s">
        <v>80</v>
      </c>
    </row>
    <row r="18" customFormat="false" ht="15" hidden="false" customHeight="false" outlineLevel="0" collapsed="false">
      <c r="A18" s="2" t="s">
        <v>81</v>
      </c>
    </row>
    <row r="19" customFormat="false" ht="15" hidden="false" customHeight="false" outlineLevel="0" collapsed="false">
      <c r="A19" s="2" t="s">
        <v>82</v>
      </c>
    </row>
    <row r="20" customFormat="false" ht="15" hidden="false" customHeight="false" outlineLevel="0" collapsed="false">
      <c r="A20" s="2" t="s">
        <v>83</v>
      </c>
    </row>
    <row r="22" customFormat="false" ht="15" hidden="false" customHeight="false" outlineLevel="0" collapsed="false">
      <c r="A22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24"/>
  </cols>
  <sheetData>
    <row r="1" customFormat="false" ht="16.15" hidden="false" customHeight="false" outlineLevel="0" collapsed="false">
      <c r="A1" s="1" t="s">
        <v>85</v>
      </c>
    </row>
    <row r="3" customFormat="false" ht="15" hidden="false" customHeight="false" outlineLevel="0" collapsed="false">
      <c r="A3" s="3" t="s">
        <v>86</v>
      </c>
    </row>
    <row r="4" customFormat="false" ht="15" hidden="false" customHeight="false" outlineLevel="0" collapsed="false">
      <c r="A4" s="4" t="s">
        <v>87</v>
      </c>
      <c r="B4" s="4" t="s">
        <v>88</v>
      </c>
      <c r="C4" s="4" t="s">
        <v>89</v>
      </c>
      <c r="D4" s="4" t="s">
        <v>90</v>
      </c>
    </row>
    <row r="5" customFormat="false" ht="15" hidden="false" customHeight="false" outlineLevel="0" collapsed="false">
      <c r="A5" s="2" t="s">
        <v>91</v>
      </c>
      <c r="B5" s="2" t="s">
        <v>92</v>
      </c>
      <c r="C5" s="2" t="n">
        <v>500</v>
      </c>
      <c r="D5" s="2" t="s">
        <v>93</v>
      </c>
    </row>
    <row r="6" customFormat="false" ht="15" hidden="false" customHeight="false" outlineLevel="0" collapsed="false">
      <c r="A6" s="2" t="s">
        <v>94</v>
      </c>
      <c r="B6" s="2" t="s">
        <v>95</v>
      </c>
      <c r="C6" s="2" t="n">
        <v>300</v>
      </c>
      <c r="D6" s="2" t="s">
        <v>96</v>
      </c>
    </row>
    <row r="7" customFormat="false" ht="15" hidden="false" customHeight="false" outlineLevel="0" collapsed="false">
      <c r="A7" s="2" t="s">
        <v>97</v>
      </c>
      <c r="B7" s="2" t="s">
        <v>98</v>
      </c>
      <c r="C7" s="2" t="n">
        <v>200</v>
      </c>
      <c r="D7" s="2" t="s">
        <v>99</v>
      </c>
    </row>
    <row r="8" customFormat="false" ht="15" hidden="false" customHeight="false" outlineLevel="0" collapsed="false">
      <c r="A8" s="2" t="s">
        <v>100</v>
      </c>
      <c r="B8" s="2" t="s">
        <v>101</v>
      </c>
      <c r="C8" s="2" t="n">
        <v>50</v>
      </c>
      <c r="D8" s="2" t="s">
        <v>102</v>
      </c>
    </row>
    <row r="9" customFormat="false" ht="15" hidden="false" customHeight="false" outlineLevel="0" collapsed="false">
      <c r="A9" s="2" t="s">
        <v>103</v>
      </c>
      <c r="B9" s="2" t="s">
        <v>104</v>
      </c>
      <c r="C9" s="2" t="n">
        <v>25</v>
      </c>
      <c r="D9" s="2" t="s">
        <v>105</v>
      </c>
    </row>
    <row r="10" customFormat="false" ht="15" hidden="false" customHeight="false" outlineLevel="0" collapsed="false">
      <c r="A10" s="2" t="s">
        <v>106</v>
      </c>
      <c r="B10" s="2" t="s">
        <v>107</v>
      </c>
      <c r="C10" s="2" t="n">
        <v>10</v>
      </c>
      <c r="D10" s="2" t="s">
        <v>108</v>
      </c>
    </row>
    <row r="11" customFormat="false" ht="15" hidden="false" customHeight="false" outlineLevel="0" collapsed="false">
      <c r="A11" s="2" t="s">
        <v>109</v>
      </c>
      <c r="B11" s="2" t="s">
        <v>110</v>
      </c>
      <c r="C11" s="2" t="n">
        <v>2000</v>
      </c>
      <c r="D11" s="2" t="s">
        <v>111</v>
      </c>
    </row>
    <row r="13" customFormat="false" ht="15" hidden="false" customHeight="false" outlineLevel="0" collapsed="false">
      <c r="A13" s="3" t="s">
        <v>112</v>
      </c>
    </row>
    <row r="14" customFormat="false" ht="15" hidden="false" customHeight="false" outlineLevel="0" collapsed="false">
      <c r="A14" s="4" t="s">
        <v>87</v>
      </c>
      <c r="B14" s="4" t="s">
        <v>88</v>
      </c>
      <c r="C14" s="4" t="s">
        <v>89</v>
      </c>
      <c r="D14" s="4" t="s">
        <v>90</v>
      </c>
    </row>
    <row r="15" customFormat="false" ht="15" hidden="false" customHeight="false" outlineLevel="0" collapsed="false">
      <c r="A15" s="2" t="s">
        <v>113</v>
      </c>
      <c r="B15" s="2" t="s">
        <v>114</v>
      </c>
      <c r="C15" s="2" t="n">
        <v>400</v>
      </c>
      <c r="D15" s="2" t="s">
        <v>115</v>
      </c>
    </row>
    <row r="16" customFormat="false" ht="15" hidden="false" customHeight="false" outlineLevel="0" collapsed="false">
      <c r="A16" s="2" t="s">
        <v>116</v>
      </c>
      <c r="B16" s="2" t="s">
        <v>117</v>
      </c>
      <c r="C16" s="2" t="s">
        <v>118</v>
      </c>
      <c r="D16" s="2" t="s">
        <v>119</v>
      </c>
    </row>
    <row r="17" customFormat="false" ht="15" hidden="false" customHeight="false" outlineLevel="0" collapsed="false">
      <c r="A17" s="2" t="s">
        <v>120</v>
      </c>
      <c r="B17" s="2" t="s">
        <v>101</v>
      </c>
      <c r="C17" s="2" t="n">
        <v>12</v>
      </c>
      <c r="D17" s="2" t="s">
        <v>121</v>
      </c>
    </row>
    <row r="18" customFormat="false" ht="15" hidden="false" customHeight="false" outlineLevel="0" collapsed="false">
      <c r="A18" s="2" t="s">
        <v>122</v>
      </c>
      <c r="B18" s="2" t="s">
        <v>123</v>
      </c>
      <c r="C18" s="2" t="n">
        <v>2</v>
      </c>
      <c r="D18" s="2" t="s">
        <v>115</v>
      </c>
    </row>
    <row r="20" customFormat="false" ht="15" hidden="false" customHeight="false" outlineLevel="0" collapsed="false">
      <c r="A20" s="2" t="s">
        <v>124</v>
      </c>
    </row>
    <row r="21" customFormat="false" ht="15" hidden="false" customHeight="false" outlineLevel="0" collapsed="false">
      <c r="A21" s="2" t="s">
        <v>125</v>
      </c>
    </row>
    <row r="22" customFormat="false" ht="15" hidden="false" customHeight="false" outlineLevel="0" collapsed="false">
      <c r="A22" s="6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2026-07-13T18:50:28Z</dcterms:created>
  <dc:creator>openpyxl</dc:creator>
  <dc:description/>
  <dc:language>en-US</dc:language>
  <cp:lastModifiedBy/>
  <dcterms:modified xsi:type="dcterms:W3CDTF">2026-07-13T18:50:28Z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